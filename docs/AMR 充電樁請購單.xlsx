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670" yWindow="2040" windowWidth="21600" windowHeight="11835" tabRatio="600" firstSheet="0" activeTab="0" autoFilterDateGrouping="1"/>
  </bookViews>
  <sheets>
    <sheet name="工作表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新細明體"/>
      <family val="2"/>
      <color theme="1"/>
      <sz val="11"/>
      <scheme val="minor"/>
    </font>
    <font>
      <name val="Noto Sans CJK TC"/>
      <b val="1"/>
      <color rgb="FFFFFFFF"/>
      <sz val="11"/>
    </font>
    <font>
      <name val="Noto Sans CJK TC"/>
      <family val="2"/>
      <b val="1"/>
      <color rgb="FFFFFFFF"/>
      <sz val="11"/>
    </font>
    <font>
      <name val="Noto Sans CJK TC"/>
      <color theme="1"/>
      <sz val="11"/>
    </font>
    <font>
      <name val="Noto Sans CJK TC"/>
      <color rgb="FF0000FF"/>
      <sz val="11"/>
    </font>
    <font>
      <name val="新細明體"/>
      <charset val="136"/>
      <family val="3"/>
      <sz val="9"/>
      <scheme val="minor"/>
    </font>
    <font>
      <name val="Noto Sans CJK TC"/>
      <b val="1"/>
      <color theme="1"/>
      <sz val="11"/>
    </font>
    <font>
      <name val="Noto Sans CJK TC"/>
      <family val="2"/>
      <b val="1"/>
      <color theme="1"/>
      <sz val="11"/>
    </font>
    <font>
      <name val="Noto Sans CJK TC"/>
      <color rgb="FF808080"/>
      <sz val="11"/>
    </font>
  </fonts>
  <fills count="4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3" fontId="4" fillId="0" borderId="1" applyAlignment="1" pivotButton="0" quotePrefix="0" xfId="0">
      <alignment vertical="center"/>
    </xf>
    <xf numFmtId="3" fontId="3" fillId="0" borderId="1" applyAlignment="1" pivotButton="0" quotePrefix="0" xfId="0">
      <alignment vertical="center"/>
    </xf>
    <xf numFmtId="3" fontId="4" fillId="0" borderId="2" applyAlignment="1" pivotButton="0" quotePrefix="0" xfId="0">
      <alignment vertical="center"/>
    </xf>
    <xf numFmtId="3" fontId="4" fillId="0" borderId="3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3" fontId="7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3" fontId="7" fillId="3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/>
    </xf>
    <xf numFmtId="3" fontId="4" fillId="0" borderId="2" applyAlignment="1" pivotButton="0" quotePrefix="0" xfId="0">
      <alignment vertical="top"/>
    </xf>
    <xf numFmtId="0" fontId="3" fillId="0" borderId="3" applyAlignment="1" pivotButton="0" quotePrefix="0" xfId="0">
      <alignment vertical="top"/>
    </xf>
    <xf numFmtId="0" fontId="3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tabSelected="1" workbookViewId="0">
      <pane ySplit="1" topLeftCell="A2" activePane="bottomLeft" state="frozen"/>
      <selection pane="bottomLeft" activeCell="B2" sqref="B2"/>
    </sheetView>
  </sheetViews>
  <sheetFormatPr baseColWidth="8" defaultRowHeight="15"/>
  <cols>
    <col width="19" customWidth="1" min="1" max="1"/>
    <col width="60.5" customWidth="1" min="2" max="2"/>
    <col width="40.375" customWidth="1" min="3" max="3"/>
    <col width="11.25" customWidth="1" min="4" max="4"/>
    <col width="13.625" customWidth="1" min="5" max="6"/>
    <col width="37.75" customWidth="1" min="7" max="7"/>
    <col width="24.375" customWidth="1" min="8" max="8"/>
    <col width="35.125" customWidth="1" min="9" max="9"/>
  </cols>
  <sheetData>
    <row r="1" ht="19.95" customHeight="1">
      <c r="A1" s="1" t="inlineStr">
        <is>
          <t>分類</t>
        </is>
      </c>
      <c r="B1" s="2" t="inlineStr">
        <is>
          <t>商品</t>
        </is>
      </c>
      <c r="C1" s="2" t="inlineStr">
        <is>
          <t>規格 / 型號</t>
        </is>
      </c>
      <c r="D1" s="2" t="inlineStr">
        <is>
          <t>數量</t>
        </is>
      </c>
      <c r="E1" s="2" t="inlineStr">
        <is>
          <t>單價</t>
        </is>
      </c>
      <c r="F1" s="2" t="inlineStr">
        <is>
          <t>小計</t>
        </is>
      </c>
      <c r="G1" s="2" t="inlineStr">
        <is>
          <t>備註</t>
        </is>
      </c>
      <c r="H1" s="2" t="inlineStr">
        <is>
          <t>商品連結</t>
        </is>
      </c>
      <c r="I1" s="2" t="inlineStr">
        <is>
          <t>蝦皮賣家</t>
        </is>
      </c>
    </row>
    <row r="2" ht="16.5" customHeight="1">
      <c r="A2" s="20" t="inlineStr">
        <is>
          <t>電源</t>
        </is>
      </c>
      <c r="B2" s="21" t="inlineStr">
        <is>
          <t>充電器 明緯 Mean Well HLG-150H-30A</t>
        </is>
      </c>
      <c r="C2" s="21" t="inlineStr">
        <is>
          <t>28.0V（27–33V 可調）/ 5A（CC 可調 3–5A，🔴 VR 轉到底設滿 5A）/ 150W / CC+CV / IP65；CC 恆流區 15–30V（28.0V 在區內）；AC 1.7A@115VAC；🔴 尾碼必須 -30A（A=內建電位器可調），HLG-150H-30 固定 30V 買錯不能用</t>
        </is>
      </c>
      <c r="D2" s="22" t="n">
        <v>1</v>
      </c>
      <c r="E2" s="23" t="n">
        <v>940</v>
      </c>
      <c r="F2" s="10">
        <f>IF(D2="","",D2*E2)</f>
        <v/>
      </c>
      <c r="G2" s="21" t="inlineStr">
        <is>
          <t>🔵 2026-08-11 定案，取代原案 HLG-320H-30A（NT$2,583–2,900）。理由：① 功率夠用——28.0V×5A＝140W ≤ 額定 150W，且 28.0V 落在 CC 區間 15–30V 內、CV 可調 27–33V 涵蓋 28.0V（距下限 1.0V 餘裕）；② 省錢 NT$1,643–1,960。代價已知並接受：CC 電流 10.7A→5A，充飽 3.6h→5.7h，倍率 0.28C→0.167C（dock 為常時停靠浮充架構，不痛）。🔴 保護鏈完全不需重選：12A 軟切裕度 1.12×→2.40×、F-D1 15A 1.40×→3.00×、K1 負載率 36%→16.7%，全部只變寬，故 F-D1 15A／刷板 20A／K1 30A／韌體門檻一律不動（設計文件 §3.2、§15 決策 16）。🔴 到貨後兩顆 VR 都要調：電壓 VR 空載調 28.00V、電流 VR 轉到底 5A（不設滿會拉長充飽時間並壓縮 T21 裕度）。禁用任何 29.4V 固定輸出的 7S 充電器。單價 NT$940 為蝦皮 2026-08 實價（賣場名稱未記錄）；H 欄的廣華連結 shop.cpu.com.tw/product/55843 尚未詢價，若含稅價較低再改單價。設計文件 §11.1 D1、§0.2 裁決 7</t>
        </is>
      </c>
      <c r="H2" s="13" t="inlineStr">
        <is>
          <t>https://shop.cpu.com.tw/product/55843</t>
        </is>
      </c>
      <c r="I2" s="3" t="n"/>
    </row>
    <row r="3" ht="16.5" customHeight="1">
      <c r="A3" s="24" t="inlineStr">
        <is>
          <t>控制</t>
        </is>
      </c>
      <c r="B3" s="25" t="inlineStr">
        <is>
          <t>1 路 5V 光耦繼電器模組 30A（主繼電器 K1）</t>
        </is>
      </c>
      <c r="C3" s="25" t="inlineStr">
        <is>
          <t>Songle SLA-05VDC-SL-C；接點 30A 250VAC / 30VDC（SPDT）；觸發 2–4mA、高電平 2.5–5V；72×40×24mm，4×M3（孔距 67×34）</t>
        </is>
      </c>
      <c r="D3" s="26" t="n">
        <v>2</v>
      </c>
      <c r="E3" s="27" t="n">
        <v>140</v>
      </c>
      <c r="F3" s="10">
        <f>IF(D3="","",D3*E3)</f>
        <v/>
      </c>
      <c r="G3" s="25" t="inlineStr">
        <is>
          <t>🔴 必買 5V 版（同頁另有 12V/24V，接 5V 吸不動）；H/L 跳線設 H、DC/JD 兩顆短接帽在位不拆；到貨驗收 A-1~A-4 全過才可安裝；NC 端子空置並貼「禁用」標籤。數量 2＝1 用 1 備。替代管道：icshop 368030501112 同款 NT$79/片</t>
        </is>
      </c>
      <c r="H3" s="14" t="n"/>
      <c r="I3" s="25" t="inlineStr">
        <is>
          <t>蝦皮「1 路/2 路繼電器模組 30A 帶光耦隔離 支援高低電平觸發」賣場編號 2462-2463 2465（已售 341）</t>
        </is>
      </c>
    </row>
    <row r="4" ht="16.5" customHeight="1">
      <c r="A4" s="24" t="inlineStr">
        <is>
          <t>控制</t>
        </is>
      </c>
      <c r="B4" s="25" t="inlineStr">
        <is>
          <t>ESP32 開發板 NodeMCU-32S</t>
        </is>
      </c>
      <c r="C4" s="25" t="inlineStr">
        <is>
          <t>38-pin 版（非 30-pin DevKitC），ESP32-WROOM-32，內建 WiFi</t>
        </is>
      </c>
      <c r="D4" s="26" t="n">
        <v>1</v>
      </c>
      <c r="E4" s="11" t="n"/>
      <c r="F4" s="10">
        <f>IF(D4="","",D4*E4)</f>
        <v/>
      </c>
      <c r="G4" s="25" t="inlineStr">
        <is>
          <t>dock 控制器，腳位配置見設計文件 §5。設計文件參考價 NT$150–250</t>
        </is>
      </c>
      <c r="H4" s="14" t="n"/>
      <c r="I4" s="4" t="n"/>
    </row>
    <row r="5" ht="16.5" customHeight="1">
      <c r="A5" s="24" t="inlineStr">
        <is>
          <t>電源</t>
        </is>
      </c>
      <c r="B5" s="25" t="inlineStr">
        <is>
          <t>LM2596 可調降壓模組（#1→ESP32、#2→K1 模組）</t>
        </is>
      </c>
      <c r="C5" s="25" t="inlineStr">
        <is>
          <t>LM2596S 可調模組，輸入 4.5–40V、輸出調 5.0V；🔴 必須是輸入輸出共地非隔離款（IN−↔OUT− ≈0Ω）；❌ 禁用 mini560（輸入僅 24V，28V 會燒）</t>
        </is>
      </c>
      <c r="D5" s="26" t="n">
        <v>2</v>
      </c>
      <c r="E5" s="11" t="n"/>
      <c r="F5" s="10">
        <f>IF(D5="","",D5*E5)</f>
        <v/>
      </c>
      <c r="G5" s="25" t="inlineStr">
        <is>
          <t>兩顆同 5.0V 分軌，到貨先各自空載調壓到 5.00V±0.05V 再貼標「#1 → ESP32」「#2 → K1 模組」。🔴 兩顆 OUT+ 不可併接、兩個負載不可接同一顆。兩顆皆建議加小散熱片（&lt;NT$10，不另列）。設計文件參考價 NT$30–50/顆</t>
        </is>
      </c>
      <c r="H5" s="14" t="n"/>
      <c r="I5" s="4" t="n"/>
    </row>
    <row r="6" ht="16.5" customHeight="1">
      <c r="A6" s="24" t="inlineStr">
        <is>
          <t>量測</t>
        </is>
      </c>
      <c r="B6" s="25" t="inlineStr">
        <is>
          <t>INA226 電流量測模組</t>
        </is>
      </c>
      <c r="C6" s="25" t="inlineStr">
        <is>
          <t>I2C 高側量測，搭外部分流器，CAL=2048 / Current_LSB 1mA</t>
        </is>
      </c>
      <c r="D6" s="26" t="n">
        <v>1</v>
      </c>
      <c r="E6" s="11" t="n"/>
      <c r="F6" s="10">
        <f>IF(D6="","",D6*E6)</f>
        <v/>
      </c>
      <c r="G6" s="25" t="inlineStr">
        <is>
          <t>🔴 板上 0.1Ω（絲印 R100）必須拆除，改接外部 FL-2 分流器；Kelvin 接法（大螺栓走電流、小螺絲取樣）。ALERT 需外加 10kΩ 上拉。設計文件參考價 NT$80–150</t>
        </is>
      </c>
      <c r="H6" s="14" t="n"/>
      <c r="I6" s="4" t="n"/>
    </row>
    <row r="7" ht="16.5" customHeight="1">
      <c r="A7" s="24" t="inlineStr">
        <is>
          <t>量測</t>
        </is>
      </c>
      <c r="B7" s="25" t="inlineStr">
        <is>
          <t>FL-2 分流器</t>
        </is>
      </c>
      <c r="C7" s="25" t="inlineStr">
        <is>
          <t>30A / 75mV（＝2.5mΩ）；與車上 power_design.md W4 同款</t>
        </is>
      </c>
      <c r="D7" s="26" t="n">
        <v>1</v>
      </c>
      <c r="E7" s="11" t="n"/>
      <c r="F7" s="10">
        <f>IF(D7="","",D7*E7)</f>
        <v/>
      </c>
      <c r="G7" s="25" t="inlineStr">
        <is>
          <t>🔴 板上 0.1Ω（絲印 R100）必須拆除，改接外部 FL-2 分流器；Kelvin 接法（大螺栓走電流、小螺絲取樣）。🔵 依定案的 HLG-150H-30A（5A）重算：5A 時壓降 5×2.5mΩ＝12.5mV＝滿刻度 81.92mV 的 15.3%、耗散 5²×0.0025＝62.5mW（原以 320H 10.7A 算為 26.8mV／0.29W）。滿刻度使用率降低不影響解析度（Current_LSB 固定 1mA，5A 仍有 5000 階），且 14A 過流門檻＝35mV 仍在量程內 ⇒ 維持 30A/75mV 選型不換料。⚠️ 工單寫「10A/75mV」與設計文件 §3.5 的 30A/75mV 不符，此列以設計文件為準（CAL=2048 是依 2.5mΩ 算的）。設計文件參考價 NT$100–200</t>
        </is>
      </c>
      <c r="H7" s="14" t="n"/>
      <c r="I7" s="4" t="n"/>
    </row>
    <row r="8" ht="16.5" customHeight="1">
      <c r="A8" s="24" t="inlineStr">
        <is>
          <t>保護</t>
        </is>
      </c>
      <c r="B8" s="25" t="inlineStr">
        <is>
          <t>ATO 刀片保險絲 15A（F-D1）</t>
        </is>
      </c>
      <c r="C8" s="25" t="inlineStr">
        <is>
          <t>標準 ATO 刀片、15A、32VDC 快熔（SAE J1284 / ISO 8820-3）</t>
        </is>
      </c>
      <c r="D8" s="26" t="n">
        <v>3</v>
      </c>
      <c r="E8" s="11" t="n"/>
      <c r="F8" s="10">
        <f>IF(D8="","",D8*E8)</f>
        <v/>
      </c>
      <c r="G8" s="25" t="inlineStr">
        <is>
          <t>數量 3＝1 用 2 備。與車上 F1 同族料件，備品可共用。設計文件參考價 NT$30/包</t>
        </is>
      </c>
      <c r="H8" s="14" t="n"/>
      <c r="I8" s="4" t="n"/>
    </row>
    <row r="9" ht="16.5" customHeight="1">
      <c r="A9" s="24" t="inlineStr">
        <is>
          <t>保護</t>
        </is>
      </c>
      <c r="B9" s="25" t="inlineStr">
        <is>
          <t>ATO 保險絲座</t>
        </is>
      </c>
      <c r="C9" s="25" t="inlineStr">
        <is>
          <t>嵌入式 ATC 座或螺絲端子式，🔴 容線上限須 ≥4mm²（要吃得下 12 AWG＝3.31mm²）</t>
        </is>
      </c>
      <c r="D9" s="26" t="n">
        <v>1</v>
      </c>
      <c r="E9" s="11" t="n"/>
      <c r="F9" s="10">
        <f>IF(D9="","",D9*E9)</f>
        <v/>
      </c>
      <c r="G9" s="25" t="inlineStr">
        <is>
          <t>接線 WD-1 / WD-2。設計文件參考價 NT$80–150</t>
        </is>
      </c>
      <c r="H9" s="14" t="n"/>
      <c r="I9" s="4" t="n"/>
    </row>
    <row r="10" ht="16.5" customHeight="1">
      <c r="A10" s="24" t="inlineStr">
        <is>
          <t>機構</t>
        </is>
      </c>
      <c r="B10" s="25" t="inlineStr">
        <is>
          <t>微動開關（SW-L / SW-R）</t>
        </is>
      </c>
      <c r="C10" s="25" t="inlineStr">
        <is>
          <t>機械微動、NO 常開接點、帶滾輪槓桿；如 Omron V-15-1C25（取 NO 端）</t>
        </is>
      </c>
      <c r="D10" s="26" t="n">
        <v>3</v>
      </c>
      <c r="E10" s="11" t="n"/>
      <c r="F10" s="10">
        <f>IF(D10="","",D10*E10)</f>
        <v/>
      </c>
      <c r="G10" s="25" t="inlineStr">
        <is>
          <t>數量 3＝2 用 1 備。可選鍍金接點款（Omron D2F-01 / D2F-01L）更保險但非必要。接法 GPIO→開關→GND（斷線讀 HIGH＝未觸發，fail-safe 方向）。設計文件參考價 NT$40–100/顆</t>
        </is>
      </c>
      <c r="H10" s="14" t="n"/>
      <c r="I10" s="4" t="n"/>
    </row>
    <row r="11" ht="16.5" customHeight="1">
      <c r="A11" s="24" t="inlineStr">
        <is>
          <t>機構</t>
        </is>
      </c>
      <c r="B11" s="25" t="inlineStr">
        <is>
          <t>刷板組（dock 側刷板 + 車底彈簧刷塊）</t>
        </is>
      </c>
      <c r="C11" s="25" t="inlineStr">
        <is>
          <t>AGV 充電板配套，🔴 20A 檔、鍍鎳（不可選 15A 檔，否則保險絲得降到 10A &lt; 充電器 10.7A 會誤熔斷）</t>
        </is>
      </c>
      <c r="D11" s="26" t="n">
        <v>0</v>
      </c>
      <c r="E11" s="11" t="n"/>
      <c r="F11" s="10">
        <f>IF(D11="","",D11*E11)</f>
        <v/>
      </c>
      <c r="G11" s="25" t="inlineStr">
        <is>
          <t>等實物確認（價格與端子形式 TBD，賣家已提供 3D 圖）。管道：樂天「青春公社」（淘寶轉賣），設計文件參考價 NT$800–2,000。確認後把數量改 1 即納入合計</t>
        </is>
      </c>
      <c r="H11" s="14" t="n"/>
      <c r="I11" s="4" t="n"/>
    </row>
    <row r="12" ht="16.5" customHeight="1">
      <c r="A12" s="24" t="inlineStr">
        <is>
          <t>被動元件</t>
        </is>
      </c>
      <c r="B12" s="25" t="inlineStr">
        <is>
          <t>電阻 1kΩ 1/4W</t>
        </is>
      </c>
      <c r="C12" s="25" t="inlineStr">
        <is>
          <t>微動開關上拉 Rpu ×2</t>
        </is>
      </c>
      <c r="D12" s="26" t="n">
        <v>4</v>
      </c>
      <c r="E12" s="11" t="n"/>
      <c r="F12" s="10">
        <f>IF(D12="","",D12*E12)</f>
        <v/>
      </c>
      <c r="G12" s="25" t="inlineStr">
        <is>
          <t>🔴 不可改 10kΩ：1kΩ 時濕電流 3.0mA，10kΩ 只有 0.33mA，接點氧化膜破不掉會接觸不良。數量含備品</t>
        </is>
      </c>
      <c r="H12" s="14" t="n"/>
      <c r="I12" s="4" t="n"/>
    </row>
    <row r="13" ht="16.5" customHeight="1">
      <c r="A13" s="24" t="inlineStr">
        <is>
          <t>被動元件</t>
        </is>
      </c>
      <c r="B13" s="25" t="inlineStr">
        <is>
          <t>電阻 100Ω 1/4W</t>
        </is>
      </c>
      <c r="C13" s="25" t="inlineStr">
        <is>
          <t>微動開關串阻 Rs ×2</t>
        </is>
      </c>
      <c r="D13" s="26" t="n">
        <v>3</v>
      </c>
      <c r="E13" s="11" t="n"/>
      <c r="F13" s="10">
        <f>IF(D13="","",D13*E13)</f>
        <v/>
      </c>
      <c r="G13" s="25" t="inlineStr">
        <is>
          <t>與 100nF 組 EMI 濾波 τ=10µs。🔴 必須遠小於 Rpu，閉合時 GPIO 電位 0.30V &lt; V_IL 0.825V。數量含備品</t>
        </is>
      </c>
      <c r="H13" s="14" t="n"/>
      <c r="I13" s="4" t="n"/>
    </row>
    <row r="14" ht="16.5" customHeight="1">
      <c r="A14" s="24" t="inlineStr">
        <is>
          <t>被動元件</t>
        </is>
      </c>
      <c r="B14" s="25" t="inlineStr">
        <is>
          <t>電阻 10kΩ 1/4W</t>
        </is>
      </c>
      <c r="C14" s="25" t="inlineStr">
        <is>
          <t>INA226 ALERT（GPIO34）上拉至 3V3 ×1</t>
        </is>
      </c>
      <c r="D14" s="26" t="n">
        <v>3</v>
      </c>
      <c r="E14" s="11" t="n"/>
      <c r="F14" s="10">
        <f>IF(D14="","",D14*E14)</f>
        <v/>
      </c>
      <c r="G14" s="25" t="inlineStr">
        <is>
          <t>🔴 GPIO34 僅輸入且無內部上拉，不加會永遠讀到浮空。數量含備品</t>
        </is>
      </c>
      <c r="H14" s="14" t="n"/>
      <c r="I14" s="4" t="n"/>
    </row>
    <row r="15" ht="16.5" customHeight="1">
      <c r="A15" s="24" t="inlineStr">
        <is>
          <t>被動元件</t>
        </is>
      </c>
      <c r="B15" s="25" t="inlineStr">
        <is>
          <t>電阻 470Ω 1/4W</t>
        </is>
      </c>
      <c r="C15" s="25" t="inlineStr">
        <is>
          <t>狀態 LED 串阻 ×2（GPIO18 綠 / GPIO19 紅）</t>
        </is>
      </c>
      <c r="D15" s="26" t="n">
        <v>3</v>
      </c>
      <c r="E15" s="11" t="n"/>
      <c r="F15" s="10">
        <f>IF(D15="","",D15*E15)</f>
        <v/>
      </c>
      <c r="G15" s="25" t="inlineStr">
        <is>
          <t>數量含備品</t>
        </is>
      </c>
      <c r="H15" s="14" t="n"/>
      <c r="I15" s="4" t="n"/>
    </row>
    <row r="16" ht="16.5" customHeight="1">
      <c r="A16" s="24" t="inlineStr">
        <is>
          <t>被動元件</t>
        </is>
      </c>
      <c r="B16" s="25" t="inlineStr">
        <is>
          <t>陶瓷電容 100nF</t>
        </is>
      </c>
      <c r="C16" s="25" t="inlineStr">
        <is>
          <t>微動開關濾波 C ×2</t>
        </is>
      </c>
      <c r="D16" s="26" t="n">
        <v>5</v>
      </c>
      <c r="E16" s="11" t="n"/>
      <c r="F16" s="10">
        <f>IF(D16="","",D16*E16)</f>
        <v/>
      </c>
      <c r="G16" s="25" t="inlineStr">
        <is>
          <t>與 Rs 100Ω 搭配濾 EMI；去彈跳靠軟體不靠它。數量含備品</t>
        </is>
      </c>
      <c r="H16" s="14" t="n"/>
      <c r="I16" s="4" t="n"/>
    </row>
    <row r="17" ht="16.5" customHeight="1">
      <c r="A17" s="24" t="inlineStr">
        <is>
          <t>被動元件</t>
        </is>
      </c>
      <c r="B17" s="25" t="inlineStr">
        <is>
          <t>LED 5mm 綠 ×1 / 紅 ×1</t>
        </is>
      </c>
      <c r="C17" s="25" t="inlineStr">
        <is>
          <t>綠＝狀態（GPIO18）、紅＝故障碼（GPIO19）</t>
        </is>
      </c>
      <c r="D17" s="26" t="n">
        <v>2</v>
      </c>
      <c r="E17" s="11" t="n"/>
      <c r="F17" s="10">
        <f>IF(D17="","",D17*E17)</f>
        <v/>
      </c>
      <c r="G17" s="25" t="inlineStr">
        <is>
          <t>串 470Ω。設計文件參考價 NT$20</t>
        </is>
      </c>
      <c r="H17" s="14" t="n"/>
      <c r="I17" s="4" t="n"/>
    </row>
    <row r="18" ht="16.5" customHeight="1">
      <c r="A18" s="24" t="inlineStr">
        <is>
          <t>被動元件</t>
        </is>
      </c>
      <c r="B18" s="25" t="inlineStr">
        <is>
          <t>電解電容 100µF / 50V</t>
        </is>
      </c>
      <c r="C18" s="25" t="inlineStr">
        <is>
          <t>buck 輸出加強（選配）</t>
        </is>
      </c>
      <c r="D18" s="26" t="n">
        <v>0</v>
      </c>
      <c r="E18" s="11" t="n"/>
      <c r="F18" s="10">
        <f>IF(D18="","",D18*E18)</f>
        <v/>
      </c>
      <c r="G18" s="25" t="inlineStr">
        <is>
          <t>選配，v1 暫緩。要裝再改數量</t>
        </is>
      </c>
      <c r="H18" s="14" t="n"/>
      <c r="I18" s="4" t="n"/>
    </row>
    <row r="19" ht="16.5" customHeight="1">
      <c r="A19" s="24" t="inlineStr">
        <is>
          <t>被動元件</t>
        </is>
      </c>
      <c r="B19" s="25" t="inlineStr">
        <is>
          <t>TP-PROBE 電壓試探擴充點料件</t>
        </is>
      </c>
      <c r="C19" s="25" t="inlineStr">
        <is>
          <t>R_lim 1kΩ/1W、分壓 R_a 110kΩ、R_b 10kΩ、試探開關（繼電器或 MOSFET，型號待定）</t>
        </is>
      </c>
      <c r="D19" s="26" t="n">
        <v>0</v>
      </c>
      <c r="E19" s="11" t="n"/>
      <c r="F19" s="10">
        <f>IF(D19="","",D19*E19)</f>
        <v/>
      </c>
      <c r="G19" s="25" t="inlineStr">
        <is>
          <t>🔴 v1 預留不裝料（設計文件 §11.3）：只施作走線與 TP-PROBE-HI/LO 排針，孔位貼標。日後裝料時分壓比照 §4.4 不必重算</t>
        </is>
      </c>
      <c r="H19" s="14" t="n"/>
      <c r="I19" s="4" t="n"/>
    </row>
    <row r="20" ht="16.5" customHeight="1">
      <c r="A20" s="24" t="inlineStr">
        <is>
          <t>接線</t>
        </is>
      </c>
      <c r="B20" s="25" t="inlineStr">
        <is>
          <t>矽膠線 12 AWG（紅 / 黑）</t>
        </is>
      </c>
      <c r="C20" s="25" t="inlineStr">
        <is>
          <t>耐溫 200°C，紅黑各一捲（約 3–5m）</t>
        </is>
      </c>
      <c r="D20" s="26" t="n">
        <v>1</v>
      </c>
      <c r="E20" s="11" t="n"/>
      <c r="F20" s="10">
        <f>IF(D20="","",D20*E20)</f>
        <v/>
      </c>
      <c r="G20" s="25" t="inlineStr">
        <is>
          <t>功率路徑 WD-1~WD-9（充電器⇄保險絲⇄分流器⇄K1⇄刷板⇄⊖端子台）。🔴 壓接端子上不可補焊錫。設計文件參考價 NT$150–250</t>
        </is>
      </c>
      <c r="H20" s="14" t="n"/>
      <c r="I20" s="4" t="n"/>
    </row>
    <row r="21" ht="16.5" customHeight="1">
      <c r="A21" s="24" t="inlineStr">
        <is>
          <t>接線</t>
        </is>
      </c>
      <c r="B21" s="25" t="inlineStr">
        <is>
          <t>矽膠線 14 AWG（紅 / 黑）</t>
        </is>
      </c>
      <c r="C21" s="25" t="inlineStr">
        <is>
          <t>耐溫 200°C，K1 模組端子短跳線 ≤10cm（WD-5 / WD-6）</t>
        </is>
      </c>
      <c r="D21" s="26" t="n">
        <v>0</v>
      </c>
      <c r="E21" s="11" t="n"/>
      <c r="F21" s="10">
        <f>IF(D21="","",D21*E21)</f>
        <v/>
      </c>
      <c r="G21" s="25" t="inlineStr">
        <is>
          <t>僅在 K1 模組端子容線量塞不下 12 AWG（常見上限 2.5mm²）時才需要；車上有同款餘料可先用，故數量 0</t>
        </is>
      </c>
      <c r="H21" s="14" t="n"/>
      <c r="I21" s="4" t="n"/>
    </row>
    <row r="22" ht="16.5" customHeight="1">
      <c r="A22" s="24" t="inlineStr">
        <is>
          <t>接線</t>
        </is>
      </c>
      <c r="B22" s="25" t="inlineStr">
        <is>
          <t>線材 22 AWG（微動開關段須雙絞）</t>
        </is>
      </c>
      <c r="C22" s="25" t="inlineStr">
        <is>
          <t>微動開關線 1–2m ×2、buck 供電（WD-26~WD-32）、K1 模組 DC+/DC−（WD-23/WD-24）</t>
        </is>
      </c>
      <c r="D22" s="26" t="n">
        <v>1</v>
      </c>
      <c r="E22" s="11" t="n"/>
      <c r="F22" s="10">
        <f>IF(D22="","",D22*E22)</f>
        <v/>
      </c>
      <c r="G22" s="25" t="inlineStr">
        <is>
          <t>🔴 DC+/DC− 必須用 22 AWG，不可用杜邦線——短接模式下承載全部線圈電流 ~200–380mA 加吸合突入。設計文件參考價 NT$100</t>
        </is>
      </c>
      <c r="H22" s="14" t="n"/>
      <c r="I22" s="4" t="n"/>
    </row>
    <row r="23" ht="16.5" customHeight="1">
      <c r="A23" s="24" t="inlineStr">
        <is>
          <t>接線</t>
        </is>
      </c>
      <c r="B23" s="25" t="inlineStr">
        <is>
          <t>線材 24 AWG</t>
        </is>
      </c>
      <c r="C23" s="25" t="inlineStr">
        <is>
          <t>Kelvin 取樣雙絞（WD-10/WD-11）、VBUS（WD-12）、INA226 供電與地（WD-13/WD-14）</t>
        </is>
      </c>
      <c r="D23" s="26" t="n">
        <v>1</v>
      </c>
      <c r="E23" s="11" t="n"/>
      <c r="F23" s="10">
        <f>IF(D23="","",D23*E23)</f>
        <v/>
      </c>
      <c r="G23" s="25" t="inlineStr">
        <is>
          <t>設計文件參考價 NT$50</t>
        </is>
      </c>
      <c r="H23" s="14" t="n"/>
      <c r="I23" s="4" t="n"/>
    </row>
    <row r="24" ht="16.5" customHeight="1">
      <c r="A24" s="24" t="inlineStr">
        <is>
          <t>接線</t>
        </is>
      </c>
      <c r="B24" s="25" t="inlineStr">
        <is>
          <t>排針 2.54mm + 母-母杜邦線</t>
        </is>
      </c>
      <c r="C24" s="25" t="inlineStr">
        <is>
          <t>杜邦線 ≥4 條；排針供 TP-PROBE-HI / LO ×2</t>
        </is>
      </c>
      <c r="D24" s="26" t="n">
        <v>1</v>
      </c>
      <c r="E24" s="11" t="n"/>
      <c r="F24" s="10">
        <f>IF(D24="","",D24*E24)</f>
        <v/>
      </c>
      <c r="G24" s="25" t="inlineStr">
        <is>
          <t>用於 I2C（WD-15~WD-17）與 K1 模組 IN（WD-22，2–4mA 可用杜邦線）。🔴 DC+/DC− 不可用杜邦線。設計文件參考價 NT$50</t>
        </is>
      </c>
      <c r="H24" s="14" t="n"/>
      <c r="I24" s="4" t="n"/>
    </row>
    <row r="25" ht="16.5" customHeight="1">
      <c r="A25" s="24" t="inlineStr">
        <is>
          <t>接線</t>
        </is>
      </c>
      <c r="B25" s="25" t="inlineStr">
        <is>
          <t>螺絲端子台 TB25</t>
        </is>
      </c>
      <c r="C25" s="25" t="inlineStr">
        <is>
          <t>25A 額定、≥4 位；⊕ 與 ⊖ 各一組</t>
        </is>
      </c>
      <c r="D25" s="26" t="n">
        <v>2</v>
      </c>
      <c r="E25" s="11" t="n"/>
      <c r="F25" s="10">
        <f>IF(D25="","",D25*E25)</f>
        <v/>
      </c>
      <c r="G25" s="25" t="inlineStr">
        <is>
          <t>⊖ 端子台即 dock 單點接地星點（K1 模組 DC− 直接回這裡，不經 ESP32 GND）。設計文件參考價 NT$50–100</t>
        </is>
      </c>
      <c r="H25" s="14" t="n"/>
      <c r="I25" s="4" t="n"/>
    </row>
    <row r="26" ht="16.5" customHeight="1">
      <c r="A26" s="24" t="inlineStr">
        <is>
          <t>接線</t>
        </is>
      </c>
      <c r="B26" s="25" t="inlineStr">
        <is>
          <t>壓接端子組：環形 R1.25-4 / R5.5-4 ＋ 針型（管型）E4012 / E1508</t>
        </is>
      </c>
      <c r="C26" s="25" t="inlineStr">
        <is>
          <t>環形 M4 孔；針型 4.0mm² / 1.5mm²</t>
        </is>
      </c>
      <c r="D26" s="26" t="n">
        <v>1</v>
      </c>
      <c r="E26" s="11" t="n"/>
      <c r="F26" s="10">
        <f>IF(D26="","",D26*E26)</f>
        <v/>
      </c>
      <c r="G26" s="25" t="inlineStr">
        <is>
          <t>環形：端子台與 FL-2 分流器大螺栓（WD-3/WD-4/WD-8）。針型：保險絲座、K1 模組與 buck 的螺絲端子。設計文件參考價 NT$50＋NT$50</t>
        </is>
      </c>
      <c r="H26" s="14" t="n"/>
      <c r="I26" s="4" t="n"/>
    </row>
    <row r="27" ht="16.5" customHeight="1">
      <c r="A27" s="24" t="inlineStr">
        <is>
          <t>耗材</t>
        </is>
      </c>
      <c r="B27" s="25" t="inlineStr">
        <is>
          <t>束帶 + 標籤紙 + 熱縮套管</t>
        </is>
      </c>
      <c r="C27" s="25" t="inlineStr">
        <is>
          <t>—</t>
        </is>
      </c>
      <c r="D27" s="26" t="n">
        <v>1</v>
      </c>
      <c r="E27" s="11" t="n"/>
      <c r="F27" s="10">
        <f>IF(D27="","",D27*E27)</f>
        <v/>
      </c>
      <c r="G27" s="25" t="inlineStr">
        <is>
          <t>🔴 必須項：K1 模組「NC 禁用 — 空置」永久標籤、兩顆 buck OUT+ 標籤「#1 → ESP32」「#2 → K1 模組」、線號標籤、模組出線 3cm 內束帶固定。設計文件參考價 NT$100</t>
        </is>
      </c>
      <c r="H27" s="14" t="n"/>
      <c r="I27" s="4" t="n"/>
    </row>
    <row r="28" ht="16.5" customHeight="1">
      <c r="A28" s="24" t="inlineStr">
        <is>
          <t>耗材</t>
        </is>
      </c>
      <c r="B28" s="25" t="inlineStr">
        <is>
          <t>雙面鍍錫洞洞板</t>
        </is>
      </c>
      <c r="C28" s="25" t="inlineStr">
        <is>
          <t>ESP32 主板 + 備用</t>
        </is>
      </c>
      <c r="D28" s="26" t="n">
        <v>2</v>
      </c>
      <c r="E28" s="11" t="n"/>
      <c r="F28" s="10">
        <f>IF(D28="","",D28*E28)</f>
        <v/>
      </c>
      <c r="G28" s="25" t="inlineStr">
        <is>
          <t>K1 改用模組後功率路徑走端子台，不再需要獨立的功率小板。設計文件參考價 NT$50–100</t>
        </is>
      </c>
      <c r="H28" s="14" t="n"/>
      <c r="I28" s="4" t="n"/>
    </row>
    <row r="29" ht="16.5" customHeight="1">
      <c r="A29" s="24" t="inlineStr">
        <is>
          <t>機構</t>
        </is>
      </c>
      <c r="B29" s="25" t="inlineStr">
        <is>
          <t>防塵防潑水電器箱（外殼）</t>
        </is>
      </c>
      <c r="C29" s="25" t="inlineStr">
        <is>
          <t>IP54 以上，容納充電器 + 控制板</t>
        </is>
      </c>
      <c r="D29" s="26" t="n">
        <v>1</v>
      </c>
      <c r="E29" s="11" t="n"/>
      <c r="F29" s="10">
        <f>IF(D29="","",D29*E29)</f>
        <v/>
      </c>
      <c r="G29" s="25" t="inlineStr">
        <is>
          <t>🔴 AC 端子不得可觸及；金屬外殼接 FG，且 FG 不得與 DC ⊖ 相連。設計文件參考價 NT$300–600</t>
        </is>
      </c>
      <c r="H29" s="14" t="n"/>
      <c r="I29" s="4" t="n"/>
    </row>
    <row r="30" ht="16.5" customHeight="1">
      <c r="A30" s="28" t="inlineStr">
        <is>
          <t>保護</t>
        </is>
      </c>
      <c r="B30" s="29" t="inlineStr">
        <is>
          <t>AC 側保護 RCBO 30mA + C6（漏電斷路器＋空開二合一）</t>
        </is>
      </c>
      <c r="C30" s="29" t="inlineStr">
        <is>
          <t>RCBO 額定漏電 30mA、C 曲線 C6（6A）、110V 單相；DIN 導軌式。🔴 不可選 C2。備案（上游無處加裝時）：T5A@110V 慢熔 + 座（🔴 不是 T4A），或附保險絲的 IEC 插座</t>
        </is>
      </c>
      <c r="D30" s="30" t="n">
        <v>1</v>
      </c>
      <c r="E30" s="12" t="n"/>
      <c r="F30" s="10">
        <f>IF(D30="","",D30*E30)</f>
        <v/>
      </c>
      <c r="G30" s="29" t="inlineStr">
        <is>
          <t>🔄 取代原「2A 慢熔」——2A 是以 220V 算的，dock 插座已定案 110V。充電器滿載 AC 依明緯官方 SPEC：HLG-150H 1.7A／HLG-320H 3.5A @115VAC（Typ.，系列共用值；110V 下略高，320H 約 3.6A），2A 必熔斷；慢熔備案收斂為 T5A（對 320H 1.4×、對 150H 2.9×）。🔴 不用 T4A：對 320H 僅 1.14×，25% 降額後只能連續帶 3.0A＜3.5A，長時滿載會慢性劣化提早熔斷。C6 過流裕度：150H 3.5×／320H 1.7×。🔴 曲線必選 C 不可選 C2：C2 磁脫扣 10–20A 會被充電器開機湧浪誤跳，C6 磁脫扣 30–60A 才有裕度。RCBO 一顆同時涵蓋漏電與過流，故取代而非疊加。AC 安全必須項不變：封閉外殼 / AC 端子不可觸及 / 金屬外殼接 FG。設計文件 §3.7、§11.1 D20。單價需詢價（RCBO 遠高於保險絲）</t>
        </is>
      </c>
      <c r="H30" s="15" t="n"/>
      <c r="I30" s="5" t="n"/>
    </row>
    <row r="31" ht="16.5" customHeight="1">
      <c r="A31" s="24" t="inlineStr">
        <is>
          <t>工具</t>
        </is>
      </c>
      <c r="B31" s="25" t="inlineStr">
        <is>
          <t>壓接鉗（環形 / 針型端子用）</t>
        </is>
      </c>
      <c r="C31" s="25" t="inlineStr">
        <is>
          <t>—</t>
        </is>
      </c>
      <c r="D31" s="26" t="n">
        <v>0</v>
      </c>
      <c r="E31" s="11" t="n"/>
      <c r="F31" s="10">
        <f>IF(D31="","",D31*E31)</f>
        <v/>
      </c>
      <c r="G31" s="25" t="inlineStr">
        <is>
          <t>車上既有，沿用不重複採購（設計文件 §11.4）。要另購再改數量</t>
        </is>
      </c>
      <c r="H31" s="14" t="n"/>
      <c r="I31" s="4" t="n"/>
    </row>
    <row r="32" ht="16.5" customHeight="1">
      <c r="A32" s="17" t="n"/>
      <c r="B32" s="17" t="inlineStr">
        <is>
          <t>材料合計（不含工具）</t>
        </is>
      </c>
      <c r="C32" s="17" t="n"/>
      <c r="D32" s="17" t="n"/>
      <c r="E32" s="17" t="n"/>
      <c r="F32" s="18">
        <f>SUMIF($A$2:$A$31,"&lt;&gt;工具",$F$2:$F$31)</f>
        <v/>
      </c>
      <c r="G32" s="17" t="n"/>
      <c r="H32" s="17" t="n"/>
    </row>
    <row r="33" ht="16.5" customHeight="1">
      <c r="A33" s="17" t="n"/>
      <c r="B33" s="17" t="inlineStr">
        <is>
          <t>工具合計（一次性）</t>
        </is>
      </c>
      <c r="C33" s="17" t="n"/>
      <c r="D33" s="17" t="n"/>
      <c r="E33" s="17" t="n"/>
      <c r="F33" s="18">
        <f>SUMIF($A$2:$A$31,"工具",$F$2:$F$31)</f>
        <v/>
      </c>
      <c r="G33" s="17" t="n"/>
      <c r="H33" s="17" t="n"/>
    </row>
    <row r="34" ht="16.5" customHeight="1">
      <c r="A34" s="17" t="n"/>
      <c r="B34" s="17" t="inlineStr">
        <is>
          <t>總計</t>
        </is>
      </c>
      <c r="C34" s="17" t="n"/>
      <c r="D34" s="17" t="n"/>
      <c r="E34" s="17" t="n"/>
      <c r="F34" s="18">
        <f>F32+F33</f>
        <v/>
      </c>
      <c r="G34" s="17" t="n"/>
      <c r="H34" s="17" t="n"/>
    </row>
    <row r="36">
      <c r="B36" s="19" t="inlineStr">
        <is>
          <t>註：數量 0 = 現有 / 暫緩 / 選配，改數字即納入合計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Bryan liang</dc:creator>
  <dcterms:created xsi:type="dcterms:W3CDTF">2015-06-05T18:19:34Z</dcterms:created>
  <dcterms:modified xsi:type="dcterms:W3CDTF">2026-08-11T07:38:37Z</dcterms:modified>
  <cp:lastModifiedBy>Bryan liang</cp:lastModifiedBy>
</cp:coreProperties>
</file>