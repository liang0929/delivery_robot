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工作表1" sheetId="1" state="visible" r:id="rId1"/>
  </sheets>
  <definedNames>
    <definedName name="_xlnm._FilterDatabase" localSheetId="0" hidden="1">'工作表1'!$A$1:$H$27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Noto Sans CJK SC"/>
      <charset val="1"/>
      <family val="2"/>
      <color rgb="FF000000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808080"/>
      <sz val="11"/>
    </font>
    <font>
      <name val="Noto Sans CJK SC"/>
      <charset val="1"/>
      <family val="2"/>
      <color rgb="FF808080"/>
      <sz val="11"/>
    </font>
    <font>
      <name val="Noto Sans CJK SC"/>
      <charset val="1"/>
      <family val="2"/>
      <b val="1"/>
      <sz val="11"/>
    </font>
    <font>
      <name val="Cambria"/>
      <charset val="1"/>
      <family val="0"/>
      <b val="1"/>
      <sz val="11"/>
    </font>
    <font>
      <name val="Noto Sans CJK SC"/>
      <charset val="1"/>
      <family val="2"/>
      <i val="1"/>
      <color rgb="FF808080"/>
      <sz val="11"/>
    </font>
    <font>
      <name val="Cambria"/>
      <charset val="1"/>
      <family val="0"/>
      <i val="1"/>
      <color rgb="FF808080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/>
    </xf>
    <xf numFmtId="3" fontId="7" fillId="0" borderId="1" applyAlignment="1" pivotButton="0" quotePrefix="0" xfId="0">
      <alignment horizontal="general" vertical="center"/>
    </xf>
    <xf numFmtId="3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0" fontId="0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3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/>
    </xf>
    <xf numFmtId="3" fontId="7" fillId="0" borderId="1" applyAlignment="1" pivotButton="0" quotePrefix="0" xfId="0">
      <alignment horizontal="general" vertical="center"/>
    </xf>
    <xf numFmtId="3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0" fontId="0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3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808080"/>
        </patternFill>
      </fill>
    </dxf>
    <dxf>
      <fill>
        <patternFill patternType="solid">
          <fgColor rgb="FF0000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D27" activeCellId="0" sqref="D27"/>
    </sheetView>
  </sheetViews>
  <sheetFormatPr baseColWidth="8" defaultColWidth="8.54296875" defaultRowHeight="15" zeroHeight="0" outlineLevelRow="0"/>
  <cols>
    <col width="13" customWidth="1" style="17" min="1" max="1"/>
    <col width="22" customWidth="1" style="17" min="2" max="2"/>
    <col width="40" customWidth="1" style="17" min="3" max="3"/>
    <col width="7" customWidth="1" style="17" min="4" max="4"/>
    <col width="9" customWidth="1" style="17" min="5" max="5"/>
    <col width="10" customWidth="1" style="17" min="6" max="6"/>
    <col width="54" customWidth="1" style="17" min="7" max="7"/>
    <col width="20" customWidth="1" style="17" min="8" max="8"/>
  </cols>
  <sheetData>
    <row r="1" ht="15" customHeight="1" s="18">
      <c r="A1" s="19" t="inlineStr">
        <is>
          <t>分類</t>
        </is>
      </c>
      <c r="B1" s="19" t="inlineStr">
        <is>
          <t>商品</t>
        </is>
      </c>
      <c r="C1" s="19" t="inlineStr">
        <is>
          <t>規格 / 型號</t>
        </is>
      </c>
      <c r="D1" s="19" t="inlineStr">
        <is>
          <t>數量</t>
        </is>
      </c>
      <c r="E1" s="19" t="inlineStr">
        <is>
          <t>單價</t>
        </is>
      </c>
      <c r="F1" s="19" t="inlineStr">
        <is>
          <t>小計</t>
        </is>
      </c>
      <c r="G1" s="19" t="inlineStr">
        <is>
          <t>備註</t>
        </is>
      </c>
      <c r="H1" s="19" t="inlineStr">
        <is>
          <t>商品連結</t>
        </is>
      </c>
    </row>
    <row r="2" ht="15" customHeight="1" s="18">
      <c r="A2" s="20" t="inlineStr">
        <is>
          <t>電源主幹</t>
        </is>
      </c>
      <c r="B2" s="21" t="inlineStr">
        <is>
          <t>ATO 刀片保險絲 25A</t>
        </is>
      </c>
      <c r="C2" s="22" t="inlineStr">
        <is>
          <t>標準ATO，32VDC，快熔（SAE J1284 / ISO 8820-3）</t>
        </is>
      </c>
      <c r="D2" s="23" t="n">
        <v>2</v>
      </c>
      <c r="E2" s="24" t="n">
        <v>15</v>
      </c>
      <c r="F2" s="25">
        <f>D2*E2</f>
        <v/>
      </c>
      <c r="G2" s="26" t="inlineStr">
        <is>
          <t>★25A非30A：電池尾線為14AWG(對應20A迴路)，保險絲須保護最弱環節。峰值21A=25A的84%不誤跳</t>
        </is>
      </c>
      <c r="H2" s="21" t="inlineStr">
        <is>
          <t>https://shopee.tw/%E2%96%BA2982-3002%E2%97%84%E8%BB%8A%E7%94%A8%E4%BF%9D%E9%9A%AA%E7%B5%B2-%E7%89%87%E5%9E%8B%E4%BF%9D%E9%9A%AA%E7%B5%B2-%E4%B8%AD%E5%9E%8B-%E5%B0%8F%E5%9E%8B-%E8%BF%B7%E4%BD%A0%E5%9E%8B5A%E3%80%817.5A%E3%80%8110A%E3%80%8115A%E3%80%8120A%E3%80%8125A%E3%80%8130A-i.4877344.17619591796?extraParams=%7B%22display_model_id%22%3A68457279641%2C%22model_selection_logic%22%3A3%7D&amp;sp_atk=41239962-5b77-4683-90ae-f34906058c4c&amp;xptdk=41239962-5b77-4683-90ae-f34906058c4c</t>
        </is>
      </c>
    </row>
    <row r="3" ht="15" customHeight="1" s="18">
      <c r="A3" s="20" t="inlineStr">
        <is>
          <t>電源主幹</t>
        </is>
      </c>
      <c r="B3" s="20" t="inlineStr">
        <is>
          <t>嵌入式 ATC 保險絲座</t>
        </is>
      </c>
      <c r="C3" s="22" t="inlineStr">
        <is>
          <t>防水式，額定30A，尾線須≥12AWG(3.3mm²)</t>
        </is>
      </c>
      <c r="D3" s="23" t="n">
        <v>1</v>
      </c>
      <c r="E3" s="24" t="n">
        <v>35</v>
      </c>
      <c r="F3" s="25">
        <f>D3*E3</f>
        <v/>
      </c>
      <c r="G3" s="22" t="inlineStr">
        <is>
          <t>★下單前確認尾線線徑；低於3.3mm²不可用於主幹</t>
        </is>
      </c>
      <c r="H3" s="21" t="inlineStr">
        <is>
          <t>https://shopee.tw/%E2%96%BA3007-3012%E2%97%84%E5%B0%8F%E5%9E%8B-%E4%B8%AD%E5%9E%8B-%E6%B1%BD%E8%BB%8A%E4%BF%9D%E9%9A%AA%E7%B5%B2%E5%BA%A7-%E6%8F%92%E7%89%87%E5%BC%8F%E4%BF%9D%E9%9A%AA%E7%B5%B2-%E9%98%B2%E6%B0%B4-%E5%A4%96%E6%8E%A5%E5%BC%8F-%E4%BF%9D%E9%9A%AA%E7%B5%B2%E7%9B%92-%E4%BF%9D%E9%9A%AA%E7%9B%92-%E4%BF%9D%E9%9A%AA%E7%B5%B2%E9%98%B2%E6%B0%B4%E7%9B%92-%E5%8F%96%E9%9B%BB-i.4877344.17319626242?extraParams=%7B%22display_model_id%22%3A105708140362%2C%22model_selection_logic%22%3A3%7D&amp;sp_atk=47926d32-3d01-4c73-b4cd-424e241827ef&amp;xptdk=47926d32-3d01-4c73-b4cd-424e241827ef</t>
        </is>
      </c>
    </row>
    <row r="4" ht="15" customHeight="1" s="18">
      <c r="A4" s="20" t="inlineStr">
        <is>
          <t>電源主幹</t>
        </is>
      </c>
      <c r="B4" s="21" t="inlineStr">
        <is>
          <t>ATO 刀片保險絲 7.5A</t>
        </is>
      </c>
      <c r="C4" s="22" t="inlineStr">
        <is>
          <t>標準ATO，32VDC</t>
        </is>
      </c>
      <c r="D4" s="23" t="n">
        <v>2</v>
      </c>
      <c r="E4" s="24" t="n">
        <v>15</v>
      </c>
      <c r="F4" s="25">
        <f>D4*E4</f>
        <v/>
      </c>
      <c r="G4" s="26" t="inlineStr">
        <is>
          <t>1用1備。電子分支，實際負載1.7A</t>
        </is>
      </c>
      <c r="H4" s="21" t="inlineStr">
        <is>
          <t>https://shopee.tw/%E2%96%BA2982-3002%E2%97%84%E8%BB%8A%E7%94%A8%E4%BF%9D%E9%9A%AA%E7%B5%B2-%E7%89%87%E5%9E%8B%E4%BF%9D%E9%9A%AA%E7%B5%B2-%E4%B8%AD%E5%9E%8B-%E5%B0%8F%E5%9E%8B-%E8%BF%B7%E4%BD%A0%E5%9E%8B5A%E3%80%817.5A%E3%80%8110A%E3%80%8115A%E3%80%8120A%E3%80%8125A%E3%80%8130A-i.4877344.17619591796?extraParams=%7B%22display_model_id%22%3A68457279641%2C%22model_selection_logic%22%3A3%7D&amp;sp_atk=41239962-5b77-4683-90ae-f34906058c4c&amp;xptdk=41239962-5b77-4683-90ae-f34906058c4c</t>
        </is>
      </c>
    </row>
    <row r="5" ht="15" customHeight="1" s="18">
      <c r="A5" s="20" t="inlineStr">
        <is>
          <t>電源主幹</t>
        </is>
      </c>
      <c r="B5" s="20" t="inlineStr">
        <is>
          <t>嵌入式 ATC 保險絲座</t>
        </is>
      </c>
      <c r="C5" s="26" t="inlineStr">
        <is>
          <t>16AWG尾線即可</t>
        </is>
      </c>
      <c r="D5" s="23" t="n">
        <v>1</v>
      </c>
      <c r="E5" s="24" t="n">
        <v>80</v>
      </c>
      <c r="F5" s="25">
        <f>D5*E5</f>
        <v/>
      </c>
      <c r="G5" s="22" t="inlineStr">
        <is>
          <t>電子分支用</t>
        </is>
      </c>
      <c r="H5" s="21" t="inlineStr">
        <is>
          <t>https://shopee.tw/%E2%96%BA3007-3012%E2%97%84%E5%B0%8F%E5%9E%8B-%E4%B8%AD%E5%9E%8B-%E6%B1%BD%E8%BB%8A%E4%BF%9D%E9%9A%AA%E7%B5%B2%E5%BA%A7-%E6%8F%92%E7%89%87%E5%BC%8F%E4%BF%9D%E9%9A%AA%E7%B5%B2-%E9%98%B2%E6%B0%B4-%E5%A4%96%E6%8E%A5%E5%BC%8F-%E4%BF%9D%E9%9A%AA%E7%B5%B2%E7%9B%92-%E4%BF%9D%E9%9A%AA%E7%9B%92-%E4%BF%9D%E9%9A%AA%E7%B5%B2%E9%98%B2%E6%B0%B4%E7%9B%92-%E5%8F%96%E9%9B%BB-i.4877344.17319626242?extraParams=%7B%22display_model_id%22%3A105708140362%2C%22model_selection_logic%22%3A3%7D&amp;sp_atk=47926d32-3d01-4c73-b4cd-424e241827ef&amp;xptdk=47926d32-3d01-4c73-b4cd-424e241827ef</t>
        </is>
      </c>
    </row>
    <row r="6" ht="15" customHeight="1" s="18">
      <c r="A6" s="20" t="inlineStr">
        <is>
          <t>保護元件</t>
        </is>
      </c>
      <c r="B6" s="21" t="inlineStr">
        <is>
          <t>SMCJ30A</t>
        </is>
      </c>
      <c r="C6" s="22" t="inlineStr">
        <is>
          <t>單向TVS，standoff 30V，箝位48.4V，1500W，DO-214AB</t>
        </is>
      </c>
      <c r="D6" s="23" t="n">
        <v>2</v>
      </c>
      <c r="E6" s="24" t="n">
        <v>10</v>
      </c>
      <c r="F6" s="25">
        <f>D6*E6</f>
        <v/>
      </c>
      <c r="G6" s="26" t="inlineStr">
        <is>
          <t>1用1備。並聯於CN1，陰極(色帶端)朝+24V</t>
        </is>
      </c>
      <c r="H6" s="21" t="n"/>
    </row>
    <row r="7" ht="15" customHeight="1" s="18">
      <c r="A7" s="20" t="inlineStr">
        <is>
          <t>保護元件</t>
        </is>
      </c>
      <c r="B7" s="21" t="inlineStr">
        <is>
          <t>1000uF/50V 電解電容</t>
        </is>
      </c>
      <c r="C7" s="26" t="inlineStr">
        <is>
          <t>Panasonic EEU-FC1H102，低ESR 34mΩ，105°C 5000h</t>
        </is>
      </c>
      <c r="D7" s="23" t="n">
        <v>2</v>
      </c>
      <c r="E7" s="24" t="n">
        <v>5</v>
      </c>
      <c r="F7" s="25">
        <f>D7*E7</f>
        <v/>
      </c>
      <c r="G7" s="26" t="inlineStr">
        <is>
          <t>1用1備。並聯於CN1，注意極性</t>
        </is>
      </c>
      <c r="H7" s="21" t="n"/>
    </row>
    <row r="8" ht="15" customHeight="1" s="18">
      <c r="A8" s="20" t="inlineStr">
        <is>
          <t>保護元件</t>
        </is>
      </c>
      <c r="B8" s="20" t="inlineStr">
        <is>
          <t>洞洞板 5x7cm</t>
        </is>
      </c>
      <c r="C8" s="22" t="inlineStr">
        <is>
          <t>萬用板</t>
        </is>
      </c>
      <c r="D8" s="23" t="n">
        <v>1</v>
      </c>
      <c r="E8" s="24" t="n">
        <v>13</v>
      </c>
      <c r="F8" s="25">
        <f>D8*E8</f>
        <v/>
      </c>
      <c r="G8" s="22" t="inlineStr">
        <is>
          <t>焊TVS+電容。分壓電路已隨HC-SR04P刪除</t>
        </is>
      </c>
      <c r="H8" s="21" t="inlineStr">
        <is>
          <t>https://shopee.tw/%E2%96%BA539%E2%97%845x7cm-%E8%90%AC%E7%94%A8%E6%9D%BF-%E6%B4%9E%E6%B4%9E%E6%9D%BF-%E9%9B%99%E9%9D%A2-5*7%E5%85%AC%E5%88%86-%E9%9B%BB%E8%B7%AF%E6%9D%BF-PCB-%E7%8E%BB%E7%92%83%E7%BA%96%E7%B6%AD-%E9%9B%BB%E5%AD%90%E5%AF%A6%E7%BF%92-DIY-i.4877344.64928236?extraParams=%7B%22display_model_id%22%3A42476438343%2C%22model_selection_logic%22%3A3%7D&amp;sp_atk=f50d20b9-0260-4ecb-9942-cf80d4c0edfd&amp;xptdk=f50d20b9-0260-4ecb-9942-cf80d4c0edfdhttps://shopee.tw/%E2%96%BA539%E2%97%845x7cm-%E8%90%AC%E7%94%A8%E6%9D%BF-%E6%B4%9E%E6%B4%9E%E6%9D%BF-%E9%9B%99%E9%9D%A2-5*7%E5%85%AC%E5%88%86-%E9%9B%BB%E8%B7%AF%E6%9D%BF-PCB-%E7%8E%BB%E7%92%83%E7%BA%96%E7%B6%AD-%E9%9B%BB%E5%AD%90%E5%AF%A6%E7%BF%92-DIY-i.4877344.64928236?extraParams=%7B%22display_model_id%22%3A42476438343%2C%22model_selection_logic%22%3A3%7D&amp;sp_atk=f50d20b9-0260-4ecb-9942-cf80d4c0edfd&amp;xptdk=f50d20b9-0260-4ecb-9942-cf80d4c0edfd</t>
        </is>
      </c>
    </row>
    <row r="9" ht="15" customHeight="1" s="18">
      <c r="A9" s="20" t="inlineStr">
        <is>
          <t>保護元件</t>
        </is>
      </c>
      <c r="B9" s="27" t="inlineStr">
        <is>
          <t>470uF/25V 電解電容</t>
        </is>
      </c>
      <c r="C9" s="28" t="inlineStr">
        <is>
          <t>≥16V即可，低ESR</t>
        </is>
      </c>
      <c r="D9" s="23" t="n">
        <v>0</v>
      </c>
      <c r="E9" s="24" t="n">
        <v>0</v>
      </c>
      <c r="F9" s="25">
        <f>D9*E9</f>
        <v/>
      </c>
      <c r="G9" s="22" t="inlineStr">
        <is>
          <t>★現有免採購。Pico 3V3 (pin36) bulk，取代原規劃220µF，容量更大更佳。⚠️不可用於24V匯流排(25V&lt;28V)</t>
        </is>
      </c>
      <c r="H9" s="21" t="n"/>
    </row>
    <row r="10" ht="15" customHeight="1" s="18">
      <c r="A10" s="20" t="inlineStr">
        <is>
          <t>電壓轉換</t>
        </is>
      </c>
      <c r="B10" s="21" t="inlineStr">
        <is>
          <t>XL4016 降壓模組</t>
        </is>
      </c>
      <c r="C10" s="22" t="inlineStr">
        <is>
          <t>入4-40V，出1.25-36V，實際持續5A，帶數顯</t>
        </is>
      </c>
      <c r="D10" s="23" t="n">
        <v>1</v>
      </c>
      <c r="E10" s="24" t="n">
        <v>86</v>
      </c>
      <c r="F10" s="25">
        <f>D10*E10</f>
        <v/>
      </c>
      <c r="G10" s="22" t="inlineStr">
        <is>
          <t>調12.0V。空載先調壓、電位器封膠固定、加散熱片</t>
        </is>
      </c>
      <c r="H10" s="21" t="inlineStr">
        <is>
          <t>https://shopee.tw/%E2%96%BA914%E2%97%84LIVE%E7%9B%B4%E6%B5%81%E9%9B%BB%E6%BA%90-%E8%AA%BF%E5%A3%93%E9%99%8D%E5%A3%93%E7%A9%A9%E5%A3%93%E6%A8%A1%E7%B5%84-%E6%95%B8%E4%BD%8D%E7%9B%B4%E6%B5%81%E9%99%8D%E5%A3%93-XL4016-DC%E6%95%B8%E9%A1%AF8A-i.4877344.545081036?xptdk=66e5d54e-61b2-48e6-9ea3-4f980b253153</t>
        </is>
      </c>
    </row>
    <row r="11" ht="15" customHeight="1" s="18">
      <c r="A11" s="20" t="inlineStr">
        <is>
          <t>安全/控制</t>
        </is>
      </c>
      <c r="B11" s="20" t="inlineStr">
        <is>
          <t>急停按鈕</t>
        </is>
      </c>
      <c r="C11" s="22" t="inlineStr">
        <is>
          <t>停止按鈕斷電按鈕</t>
        </is>
      </c>
      <c r="D11" s="23" t="n">
        <v>1</v>
      </c>
      <c r="E11" s="24" t="n">
        <v>180</v>
      </c>
      <c r="F11" s="25">
        <f>D11*E11</f>
        <v/>
      </c>
      <c r="G11" s="22" t="inlineStr">
        <is>
          <t>接驅動器CN4 pin1(X0)。台廠替代TEND TN2BF4RN</t>
        </is>
      </c>
      <c r="H11" s="21" t="inlineStr">
        <is>
          <t>https://shopee.tw/%E8%98%86%E6%B4%B2%E7%8F%BE%E8%B2%A8%EF%BC%8E%E7%B7%8A%E6%80%A5%E6%8C%89%E9%88%95%E5%BF%AB%E6%8B%86%E5%BC%8F_%E5%AD%9422%E9%A0%AD40%E5%8D%B0%E5%AD%97STOP%EF%BC%8E%E7%B7%8A%E6%80%A5%E9%96%8B%E9%97%9C%E9%A6%99%E8%8F%87%E9%A0%AD%E6%80%A5%E5%81%9C%E6%8C%89%E9%8D%B5%E7%B7%8A%E6%80%A5%E5%81%9C%E6%AD%A2%E6%8C%89%E9%88%95%E6%96%B7%E9%9B%BB%E6%8C%89%E9%88%95LA38(%E5%8F%A6%E6%9C%89%E8%B3%A3%E5%85%B6%E4%BB%96%E5%B0%BA%E5%AF%B8)-i.73692085.12223506191?extraParams=%7B%22display_model_id%22%3A315549718123%2C%22model_selection_logic%22%3A3%7D&amp;sp_atk=7596032d-5356-469b-baac-b1a3523370ed&amp;xptdk=7596032d-5356-469b-baac-b1a3523370ed</t>
        </is>
      </c>
    </row>
    <row r="12" ht="15" customHeight="1" s="18">
      <c r="A12" s="20" t="inlineStr">
        <is>
          <t>安全/控制</t>
        </is>
      </c>
      <c r="B12" s="27" t="inlineStr">
        <is>
          <t>Jetson 電源鍵</t>
        </is>
      </c>
      <c r="C12" s="29" t="inlineStr">
        <is>
          <t>瞬時按鈕(NO) + 2-pin杜邦線(2.54mm)</t>
        </is>
      </c>
      <c r="D12" s="23" t="n">
        <v>0</v>
      </c>
      <c r="E12" s="24" t="n">
        <v>0</v>
      </c>
      <c r="F12" s="25">
        <f>D12*E12</f>
        <v/>
      </c>
      <c r="G12" s="22" t="inlineStr">
        <is>
          <t>★現有免採購。接J14 PIN1+PIN2；PIN7/8須保持開路</t>
        </is>
      </c>
      <c r="H12" s="21" t="n"/>
    </row>
    <row r="13" ht="15" customHeight="1" s="18">
      <c r="A13" s="20" t="inlineStr">
        <is>
          <t>感測器/下位機</t>
        </is>
      </c>
      <c r="B13" s="21" t="inlineStr">
        <is>
          <t>HC-SR04P 超音波</t>
        </is>
      </c>
      <c r="C13" s="26" t="inlineStr">
        <is>
          <t>3-5.5V，邏輯電平跟隨供電電壓，軟體相容HC-SR04</t>
        </is>
      </c>
      <c r="D13" s="23" t="n">
        <v>8</v>
      </c>
      <c r="E13" s="24" t="n">
        <v>50</v>
      </c>
      <c r="F13" s="25">
        <f>D13*E13</f>
        <v/>
      </c>
      <c r="G13" s="22" t="inlineStr">
        <is>
          <t>★必須買P版。接Pico 3V3(pin36)，免電平轉換免分壓。國外型號RCWL-1601</t>
        </is>
      </c>
      <c r="H13" s="21" t="inlineStr">
        <is>
          <t>https://shopee.tw/%E3%80%90%E7%A5%A5%E6%98%8C%E9%9B%BB%E5%AD%90%E3%80%91HC-SR04P-3V~5V-%E8%B6%85%E9%9F%B3%E6%B3%A2%E6%B8%AC%E8%B7%9D%E6%A8%A1%E7%B5%84-%E8%B6%85%E8%81%B2%E6%B3%A2%E6%B8%AC%E8%B7%9D%E6%A8%A1%E5%A1%8A-%E6%B8%AC%E8%B7%9D%E5%82%B3%E6%84%9F%E5%99%A8%E6%A8%A1%E5%A1%8A-%E6%B8%AC%E8%B7%9D%E5%82%B3%E6%84%9F%E5%99%A8-%E5%85%BC%E5%AE%B9Arduino-i.27742636.26431039754?extraParams=%7B%22display_model_id%22%3A188356626575%2C%22model_selection_logic%22%3A3%7D&amp;sp_atk=b0aa2c57-3f53-44f4-af4f-2e0ed84dff44&amp;xptdk=b0aa2c57-3f53-44f4-af4f-2e0ed84dff44</t>
        </is>
      </c>
    </row>
    <row r="14" ht="15" customHeight="1" s="18">
      <c r="A14" s="20" t="inlineStr">
        <is>
          <t>線材</t>
        </is>
      </c>
      <c r="B14" s="21" t="inlineStr">
        <is>
          <t>12 AWG 紅 100CM</t>
        </is>
      </c>
      <c r="C14" s="22" t="inlineStr">
        <is>
          <t>矽膠線，耐溫200°C</t>
        </is>
      </c>
      <c r="D14" s="23" t="n">
        <v>2</v>
      </c>
      <c r="E14" s="24" t="n">
        <v>60</v>
      </c>
      <c r="F14" s="25">
        <f>D14*E14</f>
        <v/>
      </c>
      <c r="G14" s="22" t="inlineStr">
        <is>
          <t>電池+ → F1 → 匯流排 → CN1</t>
        </is>
      </c>
      <c r="H14" s="21" t="inlineStr">
        <is>
          <t>https://shopee.tw/%E2%96%BA2755-2760%E2%97%84(1%E7%B1%B3)%E5%A4%9A%E8%8A%AF-%E7%89%B9%E8%BB%9F%E9%AB%98%E4%BD%8E%E6%BA%AB%E7%9F%BD%E8%86%A0%E7%B7%9A-%E5%A4%A7%E9%9B%BB%E6%B5%81%E9%9B%BB%E6%BA%90%E7%B7%9A-18-16-12AWG-%E8%88%AA%E6%A8%A1%E9%9B%BB%E6%B1%A0%E7%B7%9A-i.4877344.12439366367?extraParams=%7B%22display_model_id%22%3A57672412025%2C%22model_selection_logic%22%3A3%7D&amp;sp_atk=f5c83571-9338-4f69-aac3-43d053011009&amp;xptdk=f5c83571-9338-4f69-aac3-43d053011009</t>
        </is>
      </c>
    </row>
    <row r="15" ht="15" customHeight="1" s="18">
      <c r="A15" s="20" t="inlineStr">
        <is>
          <t>線材</t>
        </is>
      </c>
      <c r="B15" s="21" t="inlineStr">
        <is>
          <t>12 AWG 黑 100CM</t>
        </is>
      </c>
      <c r="C15" s="22" t="inlineStr">
        <is>
          <t>矽膠線，耐溫200°C</t>
        </is>
      </c>
      <c r="D15" s="23" t="n">
        <v>2</v>
      </c>
      <c r="E15" s="24" t="n">
        <v>60</v>
      </c>
      <c r="F15" s="25">
        <f>D15*E15</f>
        <v/>
      </c>
      <c r="G15" s="22" t="inlineStr">
        <is>
          <t>★馬達GND獨立直拉電池負極，不與訊號地共用</t>
        </is>
      </c>
      <c r="H15" s="21" t="inlineStr">
        <is>
          <t>https://shopee.tw/%E2%96%BA2755-2760%E2%97%84(1%E7%B1%B3)%E5%A4%9A%E8%8A%AF-%E7%89%B9%E8%BB%9F%E9%AB%98%E4%BD%8E%E6%BA%AB%E7%9F%BD%E8%86%A0%E7%B7%9A-%E5%A4%A7%E9%9B%BB%E6%B5%81%E9%9B%BB%E6%BA%90%E7%B7%9A-18-16-12AWG-%E8%88%AA%E6%A8%A1%E9%9B%BB%E6%B1%A0%E7%B7%9A-i.4877344.12439366367?extraParams=%7B%22display_model_id%22%3A57672412025%2C%22model_selection_logic%22%3A3%7D&amp;sp_atk=f5c83571-9338-4f69-aac3-43d053011009&amp;xptdk=f5c83571-9338-4f69-aac3-43d053011010</t>
        </is>
      </c>
    </row>
    <row r="16" ht="15" customHeight="1" s="18">
      <c r="A16" s="20" t="inlineStr">
        <is>
          <t>線材</t>
        </is>
      </c>
      <c r="B16" s="21" t="inlineStr">
        <is>
          <t>16 AWG 紅 100CM</t>
        </is>
      </c>
      <c r="C16" s="22" t="inlineStr">
        <is>
          <t>矽膠線，耐溫200°C</t>
        </is>
      </c>
      <c r="D16" s="23" t="n">
        <v>2</v>
      </c>
      <c r="E16" s="24" t="n">
        <v>25</v>
      </c>
      <c r="F16" s="25">
        <f>D16*E16</f>
        <v/>
      </c>
      <c r="G16" s="22" t="inlineStr">
        <is>
          <t>匯流排→F2→XL4016，及12V輸出</t>
        </is>
      </c>
      <c r="H16" s="21" t="inlineStr">
        <is>
          <t>https://shopee.tw/%E2%96%BA2755-2760%E2%97%84(1%E7%B1%B3)%E5%A4%9A%E8%8A%AF-%E7%89%B9%E8%BB%9F%E9%AB%98%E4%BD%8E%E6%BA%AB%E7%9F%BD%E8%86%A0%E7%B7%9A-%E5%A4%A7%E9%9B%BB%E6%B5%81%E9%9B%BB%E6%BA%90%E7%B7%9A-18-16-12AWG-%E8%88%AA%E6%A8%A1%E9%9B%BB%E6%B1%A0%E7%B7%9A-i.4877344.12439366367?extraParams=%7B%22display_model_id%22%3A57672412025%2C%22model_selection_logic%22%3A3%7D&amp;sp_atk=f5c83571-9338-4f69-aac3-43d053011009&amp;xptdk=f5c83571-9338-4f69-aac3-43d053011011</t>
        </is>
      </c>
    </row>
    <row r="17" ht="15" customHeight="1" s="18">
      <c r="A17" s="20" t="inlineStr">
        <is>
          <t>線材</t>
        </is>
      </c>
      <c r="B17" s="21" t="inlineStr">
        <is>
          <t>16 AWG 黑 100CM</t>
        </is>
      </c>
      <c r="C17" s="22" t="inlineStr">
        <is>
          <t>矽膠線，耐溫200°C</t>
        </is>
      </c>
      <c r="D17" s="23" t="n">
        <v>2</v>
      </c>
      <c r="E17" s="24" t="n">
        <v>25</v>
      </c>
      <c r="F17" s="25">
        <f>D17*E17</f>
        <v/>
      </c>
      <c r="G17" s="22" t="inlineStr">
        <is>
          <t>★原清單漏此項。訊號GND主幹</t>
        </is>
      </c>
      <c r="H17" s="21" t="inlineStr">
        <is>
          <t>https://shopee.tw/%E2%96%BA2755-2760%E2%97%84(1%E7%B1%B3)%E5%A4%9A%E8%8A%AF-%E7%89%B9%E8%BB%9F%E9%AB%98%E4%BD%8E%E6%BA%AB%E7%9F%BD%E8%86%A0%E7%B7%9A-%E5%A4%A7%E9%9B%BB%E6%B5%81%E9%9B%BB%E6%BA%90%E7%B7%9A-18-16-12AWG-%E8%88%AA%E6%A8%A1%E9%9B%BB%E6%B1%A0%E7%B7%9A-i.4877344.12439366367?extraParams=%7B%22display_model_id%22%3A57672412025%2C%22model_selection_logic%22%3A3%7D&amp;sp_atk=f5c83571-9338-4f69-aac3-43d053011009&amp;xptdk=f5c83571-9338-4f69-aac3-43d053011012</t>
        </is>
      </c>
    </row>
    <row r="18" ht="15" customHeight="1" s="18">
      <c r="A18" s="20" t="inlineStr">
        <is>
          <t>線材</t>
        </is>
      </c>
      <c r="B18" s="21" t="inlineStr">
        <is>
          <t>4芯排線 1M</t>
        </is>
      </c>
      <c r="C18" s="22" t="inlineStr">
        <is>
          <t>接HC-SR04P（VCC/TRIG/ECHO/GND）</t>
        </is>
      </c>
      <c r="D18" s="23" t="n">
        <v>4</v>
      </c>
      <c r="E18" s="24" t="n">
        <v>14</v>
      </c>
      <c r="F18" s="25">
        <f>D18*E18</f>
        <v/>
      </c>
      <c r="G18" s="22" t="inlineStr">
        <is>
          <t>★訊號與GND絞合抗雜訊。8顆感測器繞機身，4m可能不足，建議8m</t>
        </is>
      </c>
      <c r="H18" s="21" t="inlineStr">
        <is>
          <t>https://shopee.tw/%E2%96%BA577%E2%97%84(1%E7%B1%B3)4P%E5%BD%A9%E6%8E%92%E7%B7%9A-%E7%B4%94%E9%8A%85%E9%80%A3%E6%8E%A5%E7%B7%9A-LED%E7%87%88%E5%B8%B6RGB%E7%87%88%E6%A2%9D%E5%BB%B6%E9%95%B7%E7%B7%9A-%E4%B8%83%E5%BD%A9%E5%9B%9B%E8%8A%AF%E9%9B%BB%E5%AD%90%E7%B7%9A-22AWG-i.4877344.5018988742?extraParams=%7B%22display_model_id%22%3A52476565939%2C%22model_selection_logic%22%3A3%7D&amp;sp_atk=744f68a9-7991-46cc-a0dc-ca5276753497&amp;xptdk=744f68a9-7991-46cc-a0dc-ca5276753497</t>
        </is>
      </c>
    </row>
    <row r="19" ht="15" customHeight="1" s="18">
      <c r="A19" s="20" t="inlineStr">
        <is>
          <t>端子/耗材</t>
        </is>
      </c>
      <c r="B19" s="20" t="inlineStr">
        <is>
          <t>端子台</t>
        </is>
      </c>
      <c r="C19" s="26" t="inlineStr">
        <is>
          <t>≥4位，12V分配 + GND匯集各一組</t>
        </is>
      </c>
      <c r="D19" s="23" t="n">
        <v>2</v>
      </c>
      <c r="E19" s="24" t="n">
        <v>60</v>
      </c>
      <c r="F19" s="25">
        <f>D19*E19</f>
        <v/>
      </c>
      <c r="G19" s="26" t="inlineStr">
        <is>
          <t>5V軌暫緩，故由3組減為2組</t>
        </is>
      </c>
      <c r="H19" s="21" t="n"/>
    </row>
    <row r="20" ht="15" customHeight="1" s="18">
      <c r="A20" s="20" t="inlineStr">
        <is>
          <t>端子/耗材</t>
        </is>
      </c>
      <c r="B20" s="20" t="inlineStr">
        <is>
          <t>環形端子 R5.5-5</t>
        </is>
      </c>
      <c r="C20" s="22" t="inlineStr">
        <is>
          <t>適用2.63-6.64mm²，M5孔</t>
        </is>
      </c>
      <c r="D20" s="23" t="n">
        <v>1</v>
      </c>
      <c r="E20" s="24" t="n">
        <v>60</v>
      </c>
      <c r="F20" s="25">
        <f>D20*E20</f>
        <v/>
      </c>
      <c r="G20" s="22" t="inlineStr">
        <is>
          <t>一包。星點銅排(12AWG=3.31mm²落在2.63-6.64範圍內)</t>
        </is>
      </c>
      <c r="H20" s="21" t="n"/>
    </row>
    <row r="21" ht="15" customHeight="1" s="18">
      <c r="A21" s="20" t="inlineStr">
        <is>
          <t>端子/耗材</t>
        </is>
      </c>
      <c r="B21" s="20" t="inlineStr">
        <is>
          <t>環形端子 R1.25-4</t>
        </is>
      </c>
      <c r="C21" s="22" t="inlineStr">
        <is>
          <t>適用0.25-1.65mm²，M4孔</t>
        </is>
      </c>
      <c r="D21" s="23" t="n">
        <v>1</v>
      </c>
      <c r="E21" s="24" t="n">
        <v>50</v>
      </c>
      <c r="F21" s="25">
        <f>D21*E21</f>
        <v/>
      </c>
      <c r="G21" s="22" t="inlineStr">
        <is>
          <t>一包。端子台(16AWG)</t>
        </is>
      </c>
      <c r="H21" s="21" t="n"/>
    </row>
    <row r="22" ht="15" customHeight="1" s="18">
      <c r="A22" s="20" t="inlineStr">
        <is>
          <t>端子/耗材</t>
        </is>
      </c>
      <c r="B22" s="20" t="inlineStr">
        <is>
          <t>針型端子 E4012</t>
        </is>
      </c>
      <c r="C22" s="26" t="inlineStr">
        <is>
          <t>4.0mm²管型</t>
        </is>
      </c>
      <c r="D22" s="23" t="n">
        <v>1</v>
      </c>
      <c r="E22" s="24" t="n">
        <v>50</v>
      </c>
      <c r="F22" s="25">
        <f>D22*E22</f>
        <v/>
      </c>
      <c r="G22" s="22" t="inlineStr">
        <is>
          <t>一包。驅動器CN1、保險絲座螺絲夾式端子(12AWG)</t>
        </is>
      </c>
      <c r="H22" s="21" t="n"/>
    </row>
    <row r="23" ht="15" customHeight="1" s="18">
      <c r="A23" s="20" t="inlineStr">
        <is>
          <t>端子/耗材</t>
        </is>
      </c>
      <c r="B23" s="20" t="inlineStr">
        <is>
          <t>針型端子 E1508</t>
        </is>
      </c>
      <c r="C23" s="26" t="inlineStr">
        <is>
          <t>1.5mm²管型</t>
        </is>
      </c>
      <c r="D23" s="23" t="n">
        <v>1</v>
      </c>
      <c r="E23" s="24" t="n">
        <v>50</v>
      </c>
      <c r="F23" s="25">
        <f>D23*E23</f>
        <v/>
      </c>
      <c r="G23" s="22" t="inlineStr">
        <is>
          <t>一包。XL4016螺絲端子(16AWG)</t>
        </is>
      </c>
      <c r="H23" s="21" t="n"/>
    </row>
    <row r="24" ht="15" customHeight="1" s="18">
      <c r="A24" s="20" t="inlineStr">
        <is>
          <t>端子/耗材</t>
        </is>
      </c>
      <c r="B24" s="20" t="inlineStr">
        <is>
          <t>熱縮套管組</t>
        </is>
      </c>
      <c r="C24" s="22" t="inlineStr">
        <is>
          <t>多尺寸組（動力線需 8–10mm）</t>
        </is>
      </c>
      <c r="D24" s="23" t="n">
        <v>1</v>
      </c>
      <c r="E24" s="24" t="n">
        <v>8</v>
      </c>
      <c r="F24" s="25">
        <f>D24*E24</f>
        <v/>
      </c>
      <c r="G24" s="22" t="inlineStr">
        <is>
          <t>★原 3mm 過小：12AWG 線外徑約4.5mm、壓接後端子管徑6–7mm</t>
        </is>
      </c>
      <c r="H24" s="21" t="inlineStr">
        <is>
          <t>https://shopee.tw/%E3%80%90%E7%A5%A5%E6%98%8C%E9%9B%BB%E5%AD%90%E3%80%91%E5%8F%B0%E7%81%A3%E8%A3%BD%E9%80%A0-%E7%86%B1%E7%B8%AE%E5%A5%97%E7%AE%A1-%E9%98%B2%E6%B0%B4%E7%86%B1%E7%B8%AE%E5%A5%97-%E7%86%B1%E6%94%B6%E7%B8%AE%E5%A5%97%E7%AE%A1-%E7%86%B1%E7%B8%AE%E5%A5%97%E7%AE%A1-%E7%B5%95%E7%B7%A3%E7%AE%A1-%E7%86%B1%E7%B8%AE%E7%AE%A1-%E7%86%B1%E7%B8%AE%E8%86%9C-%E7%86%B1%E7%B8%AE%E5%A5%97-%E9%98%B2%E6%B0%B4%E5%A5%97-%E7%B5%95%E7%B7%A3%E5%A5%97-%E9%9B%B6%E5%89%AA%E7%B7%9A-i.27742636.5735610649?extraParams=%7B%22display_model_id%22%3A195306920159%2C%22model_selection_logic%22%3A3%7D</t>
        </is>
      </c>
    </row>
    <row r="25" ht="15" customHeight="1" s="18">
      <c r="A25" s="20" t="inlineStr">
        <is>
          <t>充電</t>
        </is>
      </c>
      <c r="B25" s="30" t="inlineStr">
        <is>
          <t>充電器</t>
        </is>
      </c>
      <c r="C25" s="29" t="inlineStr">
        <is>
          <t>可調CC/CV，須能設定 28.0V</t>
        </is>
      </c>
      <c r="D25" s="23" t="n">
        <v>0</v>
      </c>
      <c r="E25" s="24" t="n">
        <v>0</v>
      </c>
      <c r="F25" s="25">
        <f>D25*E25</f>
        <v/>
      </c>
      <c r="G25" s="22" t="inlineStr">
        <is>
          <t>★暫緩，之後討論。⚠️必須28.0V：市售7S「29.4V」款超出驅動器21–28V規格</t>
        </is>
      </c>
      <c r="H25" s="21" t="n"/>
    </row>
    <row r="26" ht="15" customHeight="1" s="18">
      <c r="A26" s="20" t="inlineStr">
        <is>
          <t>工具</t>
        </is>
      </c>
      <c r="B26" s="20" t="inlineStr">
        <is>
          <t>棘輪式端子壓接鉗</t>
        </is>
      </c>
      <c r="C26" s="22" t="inlineStr">
        <is>
          <t>適用1.25-8mm²</t>
        </is>
      </c>
      <c r="D26" s="23" t="n">
        <v>0</v>
      </c>
      <c r="E26" s="24" t="n">
        <v>500</v>
      </c>
      <c r="F26" s="25">
        <f>D26*E26</f>
        <v/>
      </c>
      <c r="G26" s="22" t="inlineStr">
        <is>
          <t>★禁用老虎鉗代替。壓R/Y型端子</t>
        </is>
      </c>
      <c r="H26" s="21" t="inlineStr">
        <is>
          <t> </t>
        </is>
      </c>
    </row>
    <row r="27" ht="15" customHeight="1" s="18">
      <c r="A27" s="20" t="inlineStr">
        <is>
          <t>工具</t>
        </is>
      </c>
      <c r="B27" s="20" t="inlineStr">
        <is>
          <t>針型端子壓接鉗</t>
        </is>
      </c>
      <c r="C27" s="22" t="inlineStr">
        <is>
          <t>方口/六角口</t>
        </is>
      </c>
      <c r="D27" s="23" t="n">
        <v>0</v>
      </c>
      <c r="E27" s="24" t="n">
        <v>400</v>
      </c>
      <c r="F27" s="25">
        <f>D27*E27</f>
        <v/>
      </c>
      <c r="G27" s="22" t="inlineStr">
        <is>
          <t>壓E型管型端子</t>
        </is>
      </c>
      <c r="H27" s="21" t="n"/>
    </row>
    <row r="29" ht="15" customHeight="1" s="18">
      <c r="A29" s="31" t="n"/>
      <c r="B29" s="32" t="inlineStr">
        <is>
          <t>材料合計（不含工具）</t>
        </is>
      </c>
      <c r="C29" s="31" t="n"/>
      <c r="D29" s="31" t="n"/>
      <c r="E29" s="31" t="n"/>
      <c r="F29" s="33">
        <f>SUMIF($A$2:$A$27,"&lt;&gt;工具",$F$2:$F$27)</f>
        <v/>
      </c>
      <c r="G29" s="31" t="n"/>
      <c r="H29" s="31" t="n"/>
    </row>
    <row r="30" ht="15" customHeight="1" s="18">
      <c r="A30" s="31" t="n"/>
      <c r="B30" s="32" t="inlineStr">
        <is>
          <t>工具合計（一次性）</t>
        </is>
      </c>
      <c r="C30" s="31" t="n"/>
      <c r="D30" s="31" t="n"/>
      <c r="E30" s="31" t="n"/>
      <c r="F30" s="33">
        <f>SUMIF($A$2:$A$27,"工具",$F$2:$F$27)</f>
        <v/>
      </c>
      <c r="G30" s="31" t="n"/>
      <c r="H30" s="31" t="n"/>
    </row>
    <row r="31" ht="15" customHeight="1" s="18">
      <c r="A31" s="31" t="n"/>
      <c r="B31" s="32" t="inlineStr">
        <is>
          <t>總計</t>
        </is>
      </c>
      <c r="C31" s="31" t="n"/>
      <c r="D31" s="31" t="n"/>
      <c r="E31" s="31" t="n"/>
      <c r="F31" s="33">
        <f>SUM($F$2:$F$27)</f>
        <v/>
      </c>
      <c r="G31" s="31" t="n"/>
      <c r="H31" s="31" t="n"/>
    </row>
    <row r="33" ht="15" customHeight="1" s="18">
      <c r="B33" s="34" t="inlineStr">
        <is>
          <t>註：數量 0 = 現有 / 暫緩 / 選配，改數字即納入合計</t>
        </is>
      </c>
    </row>
  </sheetData>
  <autoFilter ref="A1:H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2026-07-28T17:49:06Z</dcterms:created>
  <dcterms:modified xsi:type="dcterms:W3CDTF">2026-07-29T03:43:20Z</dcterms:modified>
  <cp:revision>1</cp:revision>
</cp:coreProperties>
</file>